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eil/Documents/0 Inbox/"/>
    </mc:Choice>
  </mc:AlternateContent>
  <xr:revisionPtr revIDLastSave="0" documentId="8_{18AC2130-9AB9-CB46-96D1-7DC2F35035E0}" xr6:coauthVersionLast="47" xr6:coauthVersionMax="47" xr10:uidLastSave="{00000000-0000-0000-0000-000000000000}"/>
  <bookViews>
    <workbookView xWindow="0" yWindow="780" windowWidth="30240" windowHeight="22840" activeTab="5" xr2:uid="{00000000-000D-0000-FFFF-FFFF00000000}"/>
  </bookViews>
  <sheets>
    <sheet name="Scorecard Questions" sheetId="1" r:id="rId1"/>
    <sheet name="Service Architecture Qs" sheetId="3" r:id="rId2"/>
    <sheet name="Input - Service Fit" sheetId="4" r:id="rId3"/>
    <sheet name="Input - Architecture" sheetId="5" r:id="rId4"/>
    <sheet name="Scoring Outcomes" sheetId="2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B16" i="6" s="1"/>
  <c r="B12" i="6"/>
  <c r="B10" i="6"/>
  <c r="B9" i="6"/>
  <c r="B8" i="6"/>
  <c r="B17" i="6" s="1"/>
  <c r="B5" i="6"/>
  <c r="B6" i="6" s="1"/>
  <c r="B23" i="6" l="1"/>
  <c r="B21" i="6"/>
  <c r="B19" i="6"/>
  <c r="B15" i="6"/>
</calcChain>
</file>

<file path=xl/sharedStrings.xml><?xml version="1.0" encoding="utf-8"?>
<sst xmlns="http://schemas.openxmlformats.org/spreadsheetml/2006/main" count="142" uniqueCount="104">
  <si>
    <t>Question #</t>
  </si>
  <si>
    <t>Category</t>
  </si>
  <si>
    <t>Question</t>
  </si>
  <si>
    <t>Score 1 (Low)</t>
  </si>
  <si>
    <t>Score 2 (Medium)</t>
  </si>
  <si>
    <t>Score 3 (High)</t>
  </si>
  <si>
    <t>1</t>
  </si>
  <si>
    <t>Commercial Complexity</t>
  </si>
  <si>
    <t>How likely is design development to materially affect cost?</t>
  </si>
  <si>
    <t>Scope and budget stable</t>
  </si>
  <si>
    <t>Some movement expected</t>
  </si>
  <si>
    <t>Significant change or uncertainty likely</t>
  </si>
  <si>
    <t>2</t>
  </si>
  <si>
    <t>Budget Sensitivity</t>
  </si>
  <si>
    <t>How important is ongoing cost clarity to the client or architect?</t>
  </si>
  <si>
    <t>Broad cost tolerance</t>
  </si>
  <si>
    <t>Wants guidance but flexible</t>
  </si>
  <si>
    <t>Strong budget pressure or risk of tension</t>
  </si>
  <si>
    <t>3</t>
  </si>
  <si>
    <t>Delivery Coordination Complexity</t>
  </si>
  <si>
    <t>How much active coordination will be needed to keep momentum?</t>
  </si>
  <si>
    <t>Simple team, clear roles</t>
  </si>
  <si>
    <t>Moderate coordination required</t>
  </si>
  <si>
    <t>Multiple parties / decision risks</t>
  </si>
  <si>
    <t>4</t>
  </si>
  <si>
    <t>Client Experience &amp; Decision Structure</t>
  </si>
  <si>
    <t>How confident is the client in managing delivery and decisions?</t>
  </si>
  <si>
    <t>Highly experienced / self-managing</t>
  </si>
  <si>
    <t>Some support beneficial</t>
  </si>
  <si>
    <t>Will need strong support and structure</t>
  </si>
  <si>
    <t>5</t>
  </si>
  <si>
    <t>Architectural Reliance on Commercial Support</t>
  </si>
  <si>
    <t>How much is the architect relying on us to support cost conversations?</t>
  </si>
  <si>
    <t>Minimal reliance</t>
  </si>
  <si>
    <t>Helpful but not essential</t>
  </si>
  <si>
    <t>Strong reliance or visible concern</t>
  </si>
  <si>
    <t>Total Score Range</t>
  </si>
  <si>
    <t>Recommended Service</t>
  </si>
  <si>
    <t>Positioning Line</t>
  </si>
  <si>
    <t>5–7</t>
  </si>
  <si>
    <t>Walk Away / Advisory Only</t>
  </si>
  <si>
    <t>This sounds more like a one-off costing requirement.</t>
  </si>
  <si>
    <t>8–11</t>
  </si>
  <si>
    <t>DGA Plus</t>
  </si>
  <si>
    <t>This project would benefit from managed commercial support as it evolves.</t>
  </si>
  <si>
    <t>12–15</t>
  </si>
  <si>
    <t>Full DGA Service (QS + PM)</t>
  </si>
  <si>
    <t>This project really benefits from full commercial and delivery leadership.</t>
  </si>
  <si>
    <t>Primary Indicator</t>
  </si>
  <si>
    <t>A1</t>
  </si>
  <si>
    <t>Contractual Structure Complexity</t>
  </si>
  <si>
    <t>How formal and contract-sensitive is the procurement route?</t>
  </si>
  <si>
    <t>Informal / builder-led arrangement</t>
  </si>
  <si>
    <t>Standard building contract but straightforward</t>
  </si>
  <si>
    <t>Formal contract administration likely critical</t>
  </si>
  <si>
    <t>Contract Admin</t>
  </si>
  <si>
    <t>A2</t>
  </si>
  <si>
    <t>Need for Independent Contract Authority</t>
  </si>
  <si>
    <t>Who will be responsible for instructions, certifications, and impartial contract decisions?</t>
  </si>
  <si>
    <t>Handled informally by architect/contractor</t>
  </si>
  <si>
    <t>Responsibility exists but manageable</t>
  </si>
  <si>
    <t>Clear need for independent contract administration</t>
  </si>
  <si>
    <t>A3</t>
  </si>
  <si>
    <t>Number of Decision Interfaces</t>
  </si>
  <si>
    <t>How many parties need coordinating decisions and information flow?</t>
  </si>
  <si>
    <t>Simple team structure</t>
  </si>
  <si>
    <t>Moderate consultant involvement</t>
  </si>
  <si>
    <t>Multiple interfaces requiring active coordination</t>
  </si>
  <si>
    <t>Project Management</t>
  </si>
  <si>
    <t>A4</t>
  </si>
  <si>
    <t>Programme Sensitivity</t>
  </si>
  <si>
    <t>How critical is active management of programme and sequencing?</t>
  </si>
  <si>
    <t>Flexible timing</t>
  </si>
  <si>
    <t>Some scheduling pressure</t>
  </si>
  <si>
    <t>Programme critical / high dependency chain</t>
  </si>
  <si>
    <t>A5</t>
  </si>
  <si>
    <t>Architect's Desired Role in Delivery</t>
  </si>
  <si>
    <t>Does the architect want to lead coordination and administration?</t>
  </si>
  <si>
    <t>Happy leading delivery and contracts</t>
  </si>
  <si>
    <t>Shared responsibility preferred</t>
  </si>
  <si>
    <t>Wants support or separation from delivery pressures</t>
  </si>
  <si>
    <t>PM or Contract Admin</t>
  </si>
  <si>
    <t>A6</t>
  </si>
  <si>
    <t>Client Involvement / Confidence</t>
  </si>
  <si>
    <t>How engaged and experienced is the client in managing delivery decisions?</t>
  </si>
  <si>
    <t>Highly engaged and experienced</t>
  </si>
  <si>
    <t>Moderate involvement</t>
  </si>
  <si>
    <t>Limited time/experience; needs strong support</t>
  </si>
  <si>
    <t>Enter Score (1-3)</t>
  </si>
  <si>
    <t>DGA Service Decision Engine</t>
  </si>
  <si>
    <t>1) Enter scores in the two input tabs. 2) Review recommendations below.</t>
  </si>
  <si>
    <t>Service Fit Total (Q1–Q5)</t>
  </si>
  <si>
    <t>Tier Recommendation</t>
  </si>
  <si>
    <t>Commercial Index (QS)</t>
  </si>
  <si>
    <t>Delivery Index (PM)</t>
  </si>
  <si>
    <t>Contractual Index (CA)</t>
  </si>
  <si>
    <t>Architecture PM Index</t>
  </si>
  <si>
    <t>A5 (Architect wants support?)</t>
  </si>
  <si>
    <t>Blended PM Index</t>
  </si>
  <si>
    <t>Blended CA Index</t>
  </si>
  <si>
    <t>Blended QS Index</t>
  </si>
  <si>
    <t>Dominant Component</t>
  </si>
  <si>
    <t>Suggested Service Configuration</t>
  </si>
  <si>
    <t>Recommended Positioning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</si>
</sst>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i/>
      <sz val="11"/>
      <color rgb="FF44444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9.6640625" customWidth="1"/>
    <col min="3" max="3" width="55" customWidth="1"/>
    <col min="4" max="4" width="30.6640625" customWidth="1"/>
    <col min="5" max="5" width="27" customWidth="1"/>
    <col min="6" max="6" width="36.8320312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="120" zoomScaleNormal="120"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1" width="12" customWidth="1"/>
    <col min="2" max="2" width="35.1640625" customWidth="1"/>
    <col min="3" max="3" width="55" customWidth="1"/>
    <col min="4" max="4" width="37.83203125" customWidth="1"/>
    <col min="5" max="5" width="41.33203125" customWidth="1"/>
    <col min="6" max="6" width="45.83203125" customWidth="1"/>
    <col min="7" max="7" width="18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</v>
      </c>
    </row>
    <row r="2" spans="1:7" x14ac:dyDescent="0.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  <row r="3" spans="1:7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55</v>
      </c>
    </row>
    <row r="4" spans="1:7" x14ac:dyDescent="0.2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</row>
    <row r="5" spans="1:7" x14ac:dyDescent="0.2">
      <c r="A5" t="s">
        <v>69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68</v>
      </c>
    </row>
    <row r="6" spans="1:7" x14ac:dyDescent="0.2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</row>
    <row r="7" spans="1:7" x14ac:dyDescent="0.2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18" customWidth="1"/>
  </cols>
  <sheetData>
    <row r="1" spans="1:3" x14ac:dyDescent="0.2">
      <c r="A1" s="2" t="s">
        <v>0</v>
      </c>
      <c r="B1" s="2" t="s">
        <v>1</v>
      </c>
      <c r="C1" s="2" t="s">
        <v>88</v>
      </c>
    </row>
    <row r="2" spans="1:3" x14ac:dyDescent="0.2">
      <c r="A2">
        <v>1</v>
      </c>
      <c r="B2" t="s">
        <v>7</v>
      </c>
    </row>
    <row r="3" spans="1:3" x14ac:dyDescent="0.2">
      <c r="A3">
        <v>2</v>
      </c>
      <c r="B3" t="s">
        <v>13</v>
      </c>
    </row>
    <row r="4" spans="1:3" x14ac:dyDescent="0.2">
      <c r="A4">
        <v>3</v>
      </c>
      <c r="B4" t="s">
        <v>19</v>
      </c>
    </row>
    <row r="5" spans="1:3" x14ac:dyDescent="0.2">
      <c r="A5">
        <v>4</v>
      </c>
      <c r="B5" t="s">
        <v>25</v>
      </c>
    </row>
    <row r="6" spans="1:3" x14ac:dyDescent="0.2">
      <c r="A6">
        <v>5</v>
      </c>
      <c r="B6" t="s">
        <v>31</v>
      </c>
    </row>
  </sheetData>
  <dataValidations count="1">
    <dataValidation type="list" allowBlank="1" showDropDown="1" sqref="C2:C6" xr:uid="{00000000-0002-0000-0300-000000000000}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20" customWidth="1"/>
    <col min="4" max="4" width="18" customWidth="1"/>
  </cols>
  <sheetData>
    <row r="1" spans="1:4" x14ac:dyDescent="0.2">
      <c r="A1" s="2" t="s">
        <v>0</v>
      </c>
      <c r="B1" s="2" t="s">
        <v>1</v>
      </c>
      <c r="C1" s="2" t="s">
        <v>48</v>
      </c>
      <c r="D1" s="2" t="s">
        <v>88</v>
      </c>
    </row>
    <row r="2" spans="1:4" x14ac:dyDescent="0.2">
      <c r="A2" t="s">
        <v>49</v>
      </c>
      <c r="B2" t="s">
        <v>50</v>
      </c>
      <c r="C2" t="s">
        <v>55</v>
      </c>
    </row>
    <row r="3" spans="1:4" x14ac:dyDescent="0.2">
      <c r="A3" t="s">
        <v>56</v>
      </c>
      <c r="B3" t="s">
        <v>57</v>
      </c>
      <c r="C3" t="s">
        <v>55</v>
      </c>
    </row>
    <row r="4" spans="1:4" x14ac:dyDescent="0.2">
      <c r="A4" t="s">
        <v>62</v>
      </c>
      <c r="B4" t="s">
        <v>63</v>
      </c>
      <c r="C4" t="s">
        <v>68</v>
      </c>
    </row>
    <row r="5" spans="1:4" x14ac:dyDescent="0.2">
      <c r="A5" t="s">
        <v>69</v>
      </c>
      <c r="B5" t="s">
        <v>70</v>
      </c>
      <c r="C5" t="s">
        <v>68</v>
      </c>
    </row>
    <row r="6" spans="1:4" x14ac:dyDescent="0.2">
      <c r="A6" t="s">
        <v>75</v>
      </c>
      <c r="B6" t="s">
        <v>76</v>
      </c>
      <c r="C6" t="s">
        <v>81</v>
      </c>
    </row>
    <row r="7" spans="1:4" x14ac:dyDescent="0.2">
      <c r="A7" t="s">
        <v>82</v>
      </c>
      <c r="B7" t="s">
        <v>83</v>
      </c>
      <c r="C7" t="s">
        <v>68</v>
      </c>
    </row>
  </sheetData>
  <dataValidations count="1">
    <dataValidation type="list" allowBlank="1" showDropDown="1" sqref="D2:D7" xr:uid="{00000000-0002-0000-0400-000000000000}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.33203125" customWidth="1"/>
    <col min="2" max="2" width="23.33203125" customWidth="1"/>
    <col min="3" max="3" width="55" customWidth="1"/>
  </cols>
  <sheetData>
    <row r="1" spans="1:3" ht="16" x14ac:dyDescent="0.2">
      <c r="A1" s="1" t="s">
        <v>36</v>
      </c>
      <c r="B1" s="1" t="s">
        <v>37</v>
      </c>
      <c r="C1" s="1" t="s">
        <v>38</v>
      </c>
    </row>
    <row r="2" spans="1:3" x14ac:dyDescent="0.2">
      <c r="A2" t="s">
        <v>39</v>
      </c>
      <c r="B2" t="s">
        <v>40</v>
      </c>
      <c r="C2" t="s">
        <v>41</v>
      </c>
    </row>
    <row r="3" spans="1:3" x14ac:dyDescent="0.2">
      <c r="A3" t="s">
        <v>42</v>
      </c>
      <c r="B3" t="s">
        <v>43</v>
      </c>
      <c r="C3" t="s">
        <v>44</v>
      </c>
    </row>
    <row r="4" spans="1:3" x14ac:dyDescent="0.2">
      <c r="A4" t="s">
        <v>45</v>
      </c>
      <c r="B4" t="s">
        <v>46</v>
      </c>
      <c r="C4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tabSelected="1" workbookViewId="0">
      <pane ySplit="4" topLeftCell="A5" activePane="bottomLeft" state="frozen"/>
      <selection pane="bottomLeft" activeCell="H32" sqref="H32"/>
    </sheetView>
  </sheetViews>
  <sheetFormatPr baseColWidth="10" defaultColWidth="8.83203125" defaultRowHeight="15" x14ac:dyDescent="0.2"/>
  <cols>
    <col min="1" max="1" width="34" customWidth="1"/>
    <col min="2" max="2" width="60" customWidth="1"/>
  </cols>
  <sheetData>
    <row r="1" spans="1:2" ht="21" x14ac:dyDescent="0.25">
      <c r="A1" s="3" t="s">
        <v>89</v>
      </c>
    </row>
    <row r="3" spans="1:2" x14ac:dyDescent="0.2">
      <c r="A3" s="4" t="s">
        <v>90</v>
      </c>
    </row>
    <row r="5" spans="1:2" x14ac:dyDescent="0.2">
      <c r="A5" s="5" t="s">
        <v>91</v>
      </c>
      <c r="B5" s="6">
        <f>SUM('Input - Service Fit'!C2:C6)</f>
        <v>0</v>
      </c>
    </row>
    <row r="6" spans="1:2" ht="16" x14ac:dyDescent="0.2">
      <c r="A6" s="5" t="s">
        <v>92</v>
      </c>
      <c r="B6" s="7" t="str">
        <f>IF(B5="","",IF(B5&lt;=7,"Walk Away / Advisory Only",IF(B5&lt;=11,"DGA Plus","Full DGA Service (QS + PM)")))</f>
        <v>Walk Away / Advisory Only</v>
      </c>
    </row>
    <row r="8" spans="1:2" ht="16" x14ac:dyDescent="0.2">
      <c r="A8" s="5" t="s">
        <v>93</v>
      </c>
      <c r="B8" s="6" t="str">
        <f>IFERROR(AVERAGE('Input - Service Fit'!C2,'Input - Service Fit'!C3,'Input - Service Fit'!C6),"")</f>
        <v/>
      </c>
    </row>
    <row r="9" spans="1:2" ht="16" x14ac:dyDescent="0.2">
      <c r="A9" s="5" t="s">
        <v>94</v>
      </c>
      <c r="B9" s="6" t="str">
        <f>IFERROR(AVERAGE('Input - Service Fit'!C4,'Input - Service Fit'!C5),"")</f>
        <v/>
      </c>
    </row>
    <row r="10" spans="1:2" ht="16" x14ac:dyDescent="0.2">
      <c r="A10" s="5" t="s">
        <v>95</v>
      </c>
      <c r="B10" s="6" t="str">
        <f>IFERROR(AVERAGE('Input - Architecture'!D2,'Input - Architecture'!D3),"")</f>
        <v/>
      </c>
    </row>
    <row r="12" spans="1:2" ht="16" x14ac:dyDescent="0.2">
      <c r="A12" s="5" t="s">
        <v>96</v>
      </c>
      <c r="B12" s="6" t="str">
        <f>IFERROR(AVERAGE('Input - Architecture'!D4,'Input - Architecture'!D5,'Input - Architecture'!D7),"")</f>
        <v/>
      </c>
    </row>
    <row r="13" spans="1:2" x14ac:dyDescent="0.2">
      <c r="A13" s="5" t="s">
        <v>97</v>
      </c>
      <c r="B13" s="6">
        <f>'Input - Architecture'!D6</f>
        <v>0</v>
      </c>
    </row>
    <row r="15" spans="1:2" ht="16" x14ac:dyDescent="0.2">
      <c r="A15" s="5" t="s">
        <v>98</v>
      </c>
      <c r="B15" s="6" t="str">
        <f>IF(B13="","",IF(B12="","",AVERAGE(B12, B13)))</f>
        <v/>
      </c>
    </row>
    <row r="16" spans="1:2" ht="16" x14ac:dyDescent="0.2">
      <c r="A16" s="5" t="s">
        <v>99</v>
      </c>
      <c r="B16" s="6" t="str">
        <f>IF(B13="","",IF(B10="","",AVERAGE(B10, B13)))</f>
        <v/>
      </c>
    </row>
    <row r="17" spans="1:2" ht="16" x14ac:dyDescent="0.2">
      <c r="A17" s="5" t="s">
        <v>100</v>
      </c>
      <c r="B17" s="6" t="str">
        <f>B8</f>
        <v/>
      </c>
    </row>
    <row r="19" spans="1:2" x14ac:dyDescent="0.2">
      <c r="A19" s="5" t="s">
        <v>101</v>
      </c>
      <c r="B19" s="7" t="e">
        <f>IF(B6="","",IF(AND(B16&gt;=2.5,B16&gt;B15+0.2),"Contract Admin",IF(AND(B15&gt;=2.5,B15&gt;B16+0.2),"Project Management","QS / Balanced")))</f>
        <v>#VALUE!</v>
      </c>
    </row>
    <row r="21" spans="1:2" ht="16" x14ac:dyDescent="0.2">
      <c r="A21" s="5" t="s">
        <v>102</v>
      </c>
      <c r="B21" s="7" t="str">
        <f>IF(B6="","",IF(B6="Walk Away / Advisory Only","Advisory / Refer On",IF(B6="DGA Plus",IF(B19="Contract Admin","DGA Plus + Contract Admin support",IF(B19="Project Management","DGA Plus + Light PM support","DGA Plus (QS-led managed support)")),IF(B19="Contract Admin","Full DGA (QS + PM) + CA emphasis",IF(B19="Project Management","Full DGA (QS + PM) with PM emphasis","Full DGA (QS + PM)")))))</f>
        <v>Advisory / Refer On</v>
      </c>
    </row>
    <row r="23" spans="1:2" ht="16" x14ac:dyDescent="0.2">
      <c r="A23" s="5" t="s">
        <v>103</v>
      </c>
      <c r="B23" s="7" t="str">
        <f>IF(B6="","",IF(B6="Walk Away / Advisory Only","This sounds more like a one-off costing requirement.",IF(B6="DGA Plus","This project would benefit from managed commercial support as it evolves.","This project really benefits from full commercial and delivery leadership.")))</f>
        <v>This sounds more like a one-off costing requirement.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Scorecard Questions</vt:lpstr>
      <vt:lpstr>Service Architecture Qs</vt:lpstr>
      <vt:lpstr>Input - Service Fit</vt:lpstr>
      <vt:lpstr>Input - Architecture</vt:lpstr>
      <vt:lpstr>Scoring Outcomes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Taylor</cp:lastModifiedBy>
  <dcterms:created xsi:type="dcterms:W3CDTF">2026-02-24T09:10:40Z</dcterms:created>
  <dcterms:modified xsi:type="dcterms:W3CDTF">2026-03-05T14:36:06Z</dcterms:modified>
</cp:coreProperties>
</file>